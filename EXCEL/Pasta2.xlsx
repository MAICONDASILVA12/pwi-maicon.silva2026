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ARGO\Desktop\"/>
    </mc:Choice>
  </mc:AlternateContent>
  <xr:revisionPtr revIDLastSave="0" documentId="8_{4C4302A9-92CF-45C6-AD09-190750FC54EB}" xr6:coauthVersionLast="36" xr6:coauthVersionMax="36" xr10:uidLastSave="{00000000-0000-0000-0000-000000000000}"/>
  <bookViews>
    <workbookView xWindow="0" yWindow="0" windowWidth="28800" windowHeight="12105" activeTab="3" xr2:uid="{39861113-41A5-47D4-9479-D21F705143BA}"/>
  </bookViews>
  <sheets>
    <sheet name="Planilha1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4" l="1"/>
  <c r="D2" i="4"/>
  <c r="C2" i="3"/>
  <c r="B12" i="2"/>
  <c r="B13" i="2"/>
  <c r="B9" i="2"/>
  <c r="E17" i="1" l="1"/>
  <c r="E16" i="1"/>
  <c r="B11" i="2" l="1"/>
  <c r="B10" i="2"/>
  <c r="B8" i="2"/>
  <c r="E3" i="1"/>
  <c r="F3" i="1" s="1"/>
  <c r="F5" i="1"/>
  <c r="F6" i="1"/>
  <c r="F7" i="1"/>
  <c r="F8" i="1"/>
  <c r="F9" i="1"/>
  <c r="F10" i="1"/>
  <c r="F11" i="1"/>
  <c r="F12" i="1"/>
  <c r="F4" i="1"/>
  <c r="D14" i="1"/>
  <c r="E8" i="1"/>
  <c r="E9" i="1"/>
  <c r="E10" i="1"/>
  <c r="E11" i="1"/>
  <c r="E12" i="1"/>
  <c r="E4" i="1"/>
  <c r="E5" i="1"/>
  <c r="E6" i="1"/>
  <c r="E7" i="1"/>
</calcChain>
</file>

<file path=xl/sharedStrings.xml><?xml version="1.0" encoding="utf-8"?>
<sst xmlns="http://schemas.openxmlformats.org/spreadsheetml/2006/main" count="38" uniqueCount="36">
  <si>
    <t>Item</t>
  </si>
  <si>
    <t>Controle de vendas</t>
  </si>
  <si>
    <t>Produtos</t>
  </si>
  <si>
    <t>Camisa</t>
  </si>
  <si>
    <t>Calça jeans</t>
  </si>
  <si>
    <t>Meia</t>
  </si>
  <si>
    <t>Shorts</t>
  </si>
  <si>
    <t>Camisa social</t>
  </si>
  <si>
    <t>QTD</t>
  </si>
  <si>
    <t>Valor</t>
  </si>
  <si>
    <t>Valor Total</t>
  </si>
  <si>
    <t>ICMS</t>
  </si>
  <si>
    <t>Desconto</t>
  </si>
  <si>
    <t>Valor Desconto:</t>
  </si>
  <si>
    <t>Nome</t>
  </si>
  <si>
    <t>Idade</t>
  </si>
  <si>
    <t>Jose</t>
  </si>
  <si>
    <t>Carlos</t>
  </si>
  <si>
    <t>Silva</t>
  </si>
  <si>
    <t>Márcia</t>
  </si>
  <si>
    <t>Helena</t>
  </si>
  <si>
    <t>Soma</t>
  </si>
  <si>
    <t>Médiaa</t>
  </si>
  <si>
    <t>Máximo</t>
  </si>
  <si>
    <t>Mínimo</t>
  </si>
  <si>
    <t xml:space="preserve">Valor total </t>
  </si>
  <si>
    <t xml:space="preserve">Nome </t>
  </si>
  <si>
    <t>Kleber</t>
  </si>
  <si>
    <t>Liberado</t>
  </si>
  <si>
    <t>Maior</t>
  </si>
  <si>
    <t>Menor</t>
  </si>
  <si>
    <t>Maria</t>
  </si>
  <si>
    <t>nota1</t>
  </si>
  <si>
    <t>nota2</t>
  </si>
  <si>
    <t>média</t>
  </si>
  <si>
    <t>Aprovado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</si>
</sst>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9" fontId="0" fillId="0" borderId="0" xfId="0" applyNumberFormat="1"/>
  </cellXfs>
  <cellStyles count="2">
    <cellStyle name="Cálculo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Planilha2!$A$2:$A$6</c:f>
              <c:strCache>
                <c:ptCount val="5"/>
                <c:pt idx="0">
                  <c:v>Jose</c:v>
                </c:pt>
                <c:pt idx="1">
                  <c:v>Carlos</c:v>
                </c:pt>
                <c:pt idx="2">
                  <c:v>Silva</c:v>
                </c:pt>
                <c:pt idx="3">
                  <c:v>Márcia</c:v>
                </c:pt>
                <c:pt idx="4">
                  <c:v>Helena</c:v>
                </c:pt>
              </c:strCache>
            </c:strRef>
          </c:cat>
          <c:val>
            <c:numRef>
              <c:f>Planilha2!$B$2:$B$6</c:f>
              <c:numCache>
                <c:formatCode>General</c:formatCode>
                <c:ptCount val="5"/>
                <c:pt idx="0">
                  <c:v>15</c:v>
                </c:pt>
                <c:pt idx="1">
                  <c:v>18</c:v>
                </c:pt>
                <c:pt idx="2">
                  <c:v>15</c:v>
                </c:pt>
                <c:pt idx="3">
                  <c:v>30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C-42D1-A2A1-A29489982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3746640"/>
        <c:axId val="1213895504"/>
      </c:barChart>
      <c:catAx>
        <c:axId val="131374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895504"/>
        <c:crosses val="autoZero"/>
        <c:auto val="1"/>
        <c:lblAlgn val="ctr"/>
        <c:lblOffset val="100"/>
        <c:noMultiLvlLbl val="0"/>
      </c:catAx>
      <c:valAx>
        <c:axId val="121389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374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111111111111109E-2"/>
          <c:y val="0.17581036745406825"/>
          <c:w val="0.80678718285214346"/>
          <c:h val="0.75474518810148727"/>
        </c:manualLayout>
      </c:layout>
      <c:pie3DChart>
        <c:varyColors val="1"/>
        <c:ser>
          <c:idx val="0"/>
          <c:order val="0"/>
          <c:tx>
            <c:strRef>
              <c:f>Planilha2!$B$1</c:f>
              <c:strCache>
                <c:ptCount val="1"/>
                <c:pt idx="0">
                  <c:v>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B9D-4FBE-B721-5104905E7B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B9D-4FBE-B721-5104905E7B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B9D-4FBE-B721-5104905E7B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B9D-4FBE-B721-5104905E7B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B9D-4FBE-B721-5104905E7B3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Planilha2!$A$2:$A$6</c:f>
              <c:strCache>
                <c:ptCount val="5"/>
                <c:pt idx="0">
                  <c:v>Jose</c:v>
                </c:pt>
                <c:pt idx="1">
                  <c:v>Carlos</c:v>
                </c:pt>
                <c:pt idx="2">
                  <c:v>Silva</c:v>
                </c:pt>
                <c:pt idx="3">
                  <c:v>Márcia</c:v>
                </c:pt>
                <c:pt idx="4">
                  <c:v>Helena</c:v>
                </c:pt>
              </c:strCache>
            </c:strRef>
          </c:cat>
          <c:val>
            <c:numRef>
              <c:f>Planilha2!$B$2:$B$6</c:f>
              <c:numCache>
                <c:formatCode>General</c:formatCode>
                <c:ptCount val="5"/>
                <c:pt idx="0">
                  <c:v>15</c:v>
                </c:pt>
                <c:pt idx="1">
                  <c:v>18</c:v>
                </c:pt>
                <c:pt idx="2">
                  <c:v>15</c:v>
                </c:pt>
                <c:pt idx="3">
                  <c:v>30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0-4139-AF57-3F487981F58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0</xdr:row>
      <xdr:rowOff>80962</xdr:rowOff>
    </xdr:from>
    <xdr:to>
      <xdr:col>12</xdr:col>
      <xdr:colOff>95250</xdr:colOff>
      <xdr:row>14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830FB8-BE09-4B57-9391-E5D299634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242887</xdr:colOff>
      <xdr:row>0</xdr:row>
      <xdr:rowOff>109537</xdr:rowOff>
    </xdr:from>
    <xdr:to>
      <xdr:col>20</xdr:col>
      <xdr:colOff>547687</xdr:colOff>
      <xdr:row>14</xdr:row>
      <xdr:rowOff>185737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DC4DC5F-84C1-405B-87F1-3DB04D7EB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6D72-7E02-41A3-A1B3-0CE3F86E9A6D}">
  <dimension ref="A1:F17"/>
  <sheetViews>
    <sheetView workbookViewId="0">
      <selection activeCell="E18" sqref="E18"/>
    </sheetView>
  </sheetViews>
  <sheetFormatPr defaultRowHeight="15" x14ac:dyDescent="0.25"/>
  <sheetData>
    <row r="1" spans="1:6" x14ac:dyDescent="0.25">
      <c r="B1" t="s">
        <v>1</v>
      </c>
      <c r="F1" t="s">
        <v>11</v>
      </c>
    </row>
    <row r="2" spans="1:6" x14ac:dyDescent="0.25">
      <c r="A2" t="s">
        <v>0</v>
      </c>
      <c r="B2" t="s">
        <v>2</v>
      </c>
      <c r="C2" t="s">
        <v>8</v>
      </c>
      <c r="D2" t="s">
        <v>9</v>
      </c>
      <c r="E2" t="s">
        <v>10</v>
      </c>
      <c r="F2" s="2">
        <v>0.03</v>
      </c>
    </row>
    <row r="3" spans="1:6" x14ac:dyDescent="0.25">
      <c r="A3">
        <v>1</v>
      </c>
      <c r="B3" t="s">
        <v>3</v>
      </c>
      <c r="C3">
        <v>2</v>
      </c>
      <c r="D3">
        <v>80</v>
      </c>
      <c r="E3" s="1">
        <f>C3*D3</f>
        <v>160</v>
      </c>
      <c r="F3">
        <f>E3*$F$2</f>
        <v>4.8</v>
      </c>
    </row>
    <row r="4" spans="1:6" x14ac:dyDescent="0.25">
      <c r="A4">
        <v>2</v>
      </c>
      <c r="B4" t="s">
        <v>4</v>
      </c>
      <c r="C4">
        <v>1</v>
      </c>
      <c r="D4">
        <v>120</v>
      </c>
      <c r="E4" s="1">
        <f t="shared" ref="E4:E12" si="0">C4*D4</f>
        <v>120</v>
      </c>
      <c r="F4">
        <f>E4*$F$2</f>
        <v>3.5999999999999996</v>
      </c>
    </row>
    <row r="5" spans="1:6" x14ac:dyDescent="0.25">
      <c r="A5">
        <v>3</v>
      </c>
      <c r="B5" t="s">
        <v>5</v>
      </c>
      <c r="C5">
        <v>4</v>
      </c>
      <c r="D5">
        <v>35</v>
      </c>
      <c r="E5" s="1">
        <f t="shared" si="0"/>
        <v>140</v>
      </c>
      <c r="F5">
        <f t="shared" ref="F5:F12" si="1">E5*$F$2</f>
        <v>4.2</v>
      </c>
    </row>
    <row r="6" spans="1:6" x14ac:dyDescent="0.25">
      <c r="A6">
        <v>4</v>
      </c>
      <c r="B6" t="s">
        <v>6</v>
      </c>
      <c r="C6">
        <v>3</v>
      </c>
      <c r="D6">
        <v>80</v>
      </c>
      <c r="E6" s="1">
        <f t="shared" si="0"/>
        <v>240</v>
      </c>
      <c r="F6">
        <f t="shared" si="1"/>
        <v>7.1999999999999993</v>
      </c>
    </row>
    <row r="7" spans="1:6" x14ac:dyDescent="0.25">
      <c r="A7">
        <v>5</v>
      </c>
      <c r="B7" t="s">
        <v>7</v>
      </c>
      <c r="C7">
        <v>2</v>
      </c>
      <c r="D7">
        <v>125</v>
      </c>
      <c r="E7" s="1">
        <f t="shared" si="0"/>
        <v>250</v>
      </c>
      <c r="F7">
        <f t="shared" si="1"/>
        <v>7.5</v>
      </c>
    </row>
    <row r="8" spans="1:6" x14ac:dyDescent="0.25">
      <c r="A8">
        <v>6</v>
      </c>
      <c r="E8" s="1">
        <f>C8*D8</f>
        <v>0</v>
      </c>
      <c r="F8">
        <f t="shared" si="1"/>
        <v>0</v>
      </c>
    </row>
    <row r="9" spans="1:6" x14ac:dyDescent="0.25">
      <c r="A9">
        <v>7</v>
      </c>
      <c r="E9" s="1">
        <f t="shared" si="0"/>
        <v>0</v>
      </c>
      <c r="F9">
        <f t="shared" si="1"/>
        <v>0</v>
      </c>
    </row>
    <row r="10" spans="1:6" x14ac:dyDescent="0.25">
      <c r="A10">
        <v>8</v>
      </c>
      <c r="E10" s="1">
        <f t="shared" si="0"/>
        <v>0</v>
      </c>
      <c r="F10">
        <f t="shared" si="1"/>
        <v>0</v>
      </c>
    </row>
    <row r="11" spans="1:6" x14ac:dyDescent="0.25">
      <c r="A11">
        <v>9</v>
      </c>
      <c r="E11" s="1">
        <f t="shared" si="0"/>
        <v>0</v>
      </c>
      <c r="F11">
        <f t="shared" si="1"/>
        <v>0</v>
      </c>
    </row>
    <row r="12" spans="1:6" x14ac:dyDescent="0.25">
      <c r="A12">
        <v>10</v>
      </c>
      <c r="E12" s="1">
        <f t="shared" si="0"/>
        <v>0</v>
      </c>
      <c r="F12">
        <f t="shared" si="1"/>
        <v>0</v>
      </c>
    </row>
    <row r="13" spans="1:6" x14ac:dyDescent="0.25">
      <c r="E13" s="1"/>
    </row>
    <row r="14" spans="1:6" x14ac:dyDescent="0.25">
      <c r="C14" t="s">
        <v>25</v>
      </c>
      <c r="D14">
        <f>SUM(E3:E12)</f>
        <v>910</v>
      </c>
    </row>
    <row r="16" spans="1:6" x14ac:dyDescent="0.25">
      <c r="C16" t="s">
        <v>12</v>
      </c>
      <c r="E16">
        <f>D14*0.1</f>
        <v>91</v>
      </c>
      <c r="F16" s="2"/>
    </row>
    <row r="17" spans="3:5" x14ac:dyDescent="0.25">
      <c r="C17" t="s">
        <v>13</v>
      </c>
      <c r="E17">
        <f>D14-E16</f>
        <v>819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85595-BA44-4E42-B92F-9ED9C0F21E02}">
  <dimension ref="A1:B13"/>
  <sheetViews>
    <sheetView workbookViewId="0">
      <selection activeCell="B9" sqref="B9"/>
    </sheetView>
  </sheetViews>
  <sheetFormatPr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>
        <v>15</v>
      </c>
    </row>
    <row r="3" spans="1:2" x14ac:dyDescent="0.25">
      <c r="A3" t="s">
        <v>17</v>
      </c>
      <c r="B3">
        <v>18</v>
      </c>
    </row>
    <row r="4" spans="1:2" x14ac:dyDescent="0.25">
      <c r="A4" t="s">
        <v>18</v>
      </c>
      <c r="B4">
        <v>15</v>
      </c>
    </row>
    <row r="5" spans="1:2" x14ac:dyDescent="0.25">
      <c r="A5" t="s">
        <v>19</v>
      </c>
      <c r="B5">
        <v>30</v>
      </c>
    </row>
    <row r="6" spans="1:2" x14ac:dyDescent="0.25">
      <c r="A6" t="s">
        <v>20</v>
      </c>
      <c r="B6">
        <v>20</v>
      </c>
    </row>
    <row r="8" spans="1:2" x14ac:dyDescent="0.25">
      <c r="A8" t="s">
        <v>21</v>
      </c>
      <c r="B8">
        <f>SUM(B2:B6)</f>
        <v>98</v>
      </c>
    </row>
    <row r="9" spans="1:2" x14ac:dyDescent="0.25">
      <c r="A9" t="s">
        <v>22</v>
      </c>
      <c r="B9">
        <f>AVERAGE(B2:B6)</f>
        <v>19.600000000000001</v>
      </c>
    </row>
    <row r="10" spans="1:2" x14ac:dyDescent="0.25">
      <c r="A10" t="s">
        <v>23</v>
      </c>
      <c r="B10">
        <f>MAX(B2:B6)</f>
        <v>30</v>
      </c>
    </row>
    <row r="11" spans="1:2" x14ac:dyDescent="0.25">
      <c r="A11" t="s">
        <v>24</v>
      </c>
      <c r="B11">
        <f>MIN(B2:B6)</f>
        <v>15</v>
      </c>
    </row>
    <row r="12" spans="1:2" x14ac:dyDescent="0.25">
      <c r="A12" t="s">
        <v>29</v>
      </c>
      <c r="B12">
        <f>LARGE(B2:B6,1)</f>
        <v>30</v>
      </c>
    </row>
    <row r="13" spans="1:2" x14ac:dyDescent="0.25">
      <c r="A13" t="s">
        <v>30</v>
      </c>
      <c r="B13">
        <f>SMALL(B2:B6,3)</f>
        <v>18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8026-75BC-4890-A752-B5EC6C2FF519}">
  <dimension ref="A1:C2"/>
  <sheetViews>
    <sheetView workbookViewId="0">
      <selection activeCell="C2" sqref="C2"/>
    </sheetView>
  </sheetViews>
  <sheetFormatPr defaultRowHeight="15" x14ac:dyDescent="0.25"/>
  <cols>
    <col min="3" max="3" width="13" customWidth="1"/>
  </cols>
  <sheetData>
    <row r="1" spans="1:3" x14ac:dyDescent="0.25">
      <c r="A1" t="s">
        <v>26</v>
      </c>
      <c r="B1" t="s">
        <v>15</v>
      </c>
      <c r="C1" t="s">
        <v>28</v>
      </c>
    </row>
    <row r="2" spans="1:3" x14ac:dyDescent="0.25">
      <c r="A2" t="s">
        <v>27</v>
      </c>
      <c r="B2">
        <v>18</v>
      </c>
      <c r="C2" t="str">
        <f>IF(B2&gt;=18,"Autorizado","Não autorizado")</f>
        <v>Autorizado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0DB6-38F0-4038-AD9E-CB2D21E5CAB0}">
  <dimension ref="A1:E2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14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5">
      <c r="A2" t="s">
        <v>31</v>
      </c>
      <c r="B2">
        <v>5</v>
      </c>
      <c r="C2">
        <v>8</v>
      </c>
      <c r="D2">
        <f>AVERAGE(B2:C2)</f>
        <v>6.5</v>
      </c>
      <c r="E2" t="str">
        <f>IF(2=2,"Aprovado","Reprovado")</f>
        <v>Aprovado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CAMARGO</dc:creator>
  <cp:lastModifiedBy>CAMARGO</cp:lastModifiedBy>
  <cp:lastPrinted>2026-05-04T22:25:05Z</cp:lastPrinted>
  <dcterms:created xsi:type="dcterms:W3CDTF">2026-05-04T22:22:55Z</dcterms:created>
  <dcterms:modified xsi:type="dcterms:W3CDTF">2026-05-12T00:14:19Z</dcterms:modified>
</cp:coreProperties>
</file>