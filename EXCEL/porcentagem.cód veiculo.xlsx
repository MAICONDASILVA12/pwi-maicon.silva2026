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MARGO\Desktop\MAICON\"/>
    </mc:Choice>
  </mc:AlternateContent>
  <xr:revisionPtr revIDLastSave="0" documentId="13_ncr:1_{1C44EB2C-FC1E-461C-8530-CDC0C81FD4A2}" xr6:coauthVersionLast="36" xr6:coauthVersionMax="36" xr10:uidLastSave="{00000000-0000-0000-0000-000000000000}"/>
  <bookViews>
    <workbookView xWindow="0" yWindow="0" windowWidth="28800" windowHeight="12105" activeTab="1" xr2:uid="{9BB35B91-FD9E-4665-AD2C-0BAB2DDC498C}"/>
  </bookViews>
  <sheets>
    <sheet name="Porcentagem" sheetId="1" r:id="rId1"/>
    <sheet name="Cód, Veiculo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2" l="1"/>
  <c r="B5" i="2" l="1"/>
  <c r="B4" i="2"/>
  <c r="B2" i="2"/>
  <c r="M4" i="1"/>
  <c r="M5" i="1"/>
  <c r="M6" i="1"/>
  <c r="M7" i="1"/>
  <c r="M3" i="1"/>
  <c r="H4" i="1"/>
  <c r="H5" i="1"/>
  <c r="H6" i="1"/>
  <c r="H7" i="1"/>
  <c r="H3" i="1"/>
  <c r="J3" i="1" s="1"/>
  <c r="J4" i="1"/>
  <c r="J5" i="1"/>
  <c r="J6" i="1"/>
  <c r="J7" i="1"/>
</calcChain>
</file>

<file path=xl/sharedStrings.xml><?xml version="1.0" encoding="utf-8"?>
<sst xmlns="http://schemas.openxmlformats.org/spreadsheetml/2006/main" count="48" uniqueCount="45">
  <si>
    <t>Controle de vendas</t>
  </si>
  <si>
    <t>Cliente:</t>
  </si>
  <si>
    <t>ABC TREINAMENTOS</t>
  </si>
  <si>
    <t>WP FERRAMENTAS WEB</t>
  </si>
  <si>
    <t>CALCULOS 10 SUPORTE</t>
  </si>
  <si>
    <t>EXPOSITOR WX</t>
  </si>
  <si>
    <t>JIMMY STUDIO</t>
  </si>
  <si>
    <t>Valor da Venda</t>
  </si>
  <si>
    <t>Valor do Desconto R$</t>
  </si>
  <si>
    <t>Valor a Receber</t>
  </si>
  <si>
    <t>Se pagou a vista, tem desconto de   5%</t>
  </si>
  <si>
    <t>Sim</t>
  </si>
  <si>
    <t>Não</t>
  </si>
  <si>
    <t xml:space="preserve">Pagou a Vista  </t>
  </si>
  <si>
    <t>Desconto (%)</t>
  </si>
  <si>
    <t>Código</t>
  </si>
  <si>
    <t>Modelo</t>
  </si>
  <si>
    <t>Cor</t>
  </si>
  <si>
    <t>Valor</t>
  </si>
  <si>
    <t>Ano</t>
  </si>
  <si>
    <t>CÓDIGO</t>
  </si>
  <si>
    <t xml:space="preserve">MODELO </t>
  </si>
  <si>
    <t>COR</t>
  </si>
  <si>
    <t>VALOR</t>
  </si>
  <si>
    <t>ANO</t>
  </si>
  <si>
    <t>GOL</t>
  </si>
  <si>
    <t>CELTA</t>
  </si>
  <si>
    <t>FUSCA</t>
  </si>
  <si>
    <t>UNO</t>
  </si>
  <si>
    <t>I30</t>
  </si>
  <si>
    <t>CORSA</t>
  </si>
  <si>
    <t>PALIO</t>
  </si>
  <si>
    <t>PRISMA</t>
  </si>
  <si>
    <t>VOYAGE</t>
  </si>
  <si>
    <t>BRASILIA</t>
  </si>
  <si>
    <t>VERMELHO</t>
  </si>
  <si>
    <t>PRATA</t>
  </si>
  <si>
    <t>AZUL</t>
  </si>
  <si>
    <t>CINZA</t>
  </si>
  <si>
    <t>BRANCO</t>
  </si>
  <si>
    <t>AMARELO</t>
  </si>
  <si>
    <t>ROXO</t>
  </si>
  <si>
    <t>ROSA</t>
  </si>
  <si>
    <t>VERDE</t>
  </si>
  <si>
    <t>PRETO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</si>
</sst>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11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3" borderId="0" xfId="0" applyFill="1"/>
    <xf numFmtId="0" fontId="4" fillId="3" borderId="0" xfId="0" applyFont="1" applyFill="1"/>
    <xf numFmtId="0" fontId="5" fillId="3" borderId="0" xfId="0" applyFont="1" applyFill="1"/>
    <xf numFmtId="8" fontId="0" fillId="0" borderId="0" xfId="0" applyNumberFormat="1"/>
    <xf numFmtId="0" fontId="6" fillId="3" borderId="0" xfId="0" applyFont="1" applyFill="1"/>
    <xf numFmtId="0" fontId="0" fillId="4" borderId="0" xfId="0" applyFill="1"/>
    <xf numFmtId="0" fontId="6" fillId="4" borderId="0" xfId="0" applyFont="1" applyFill="1"/>
    <xf numFmtId="0" fontId="0" fillId="5" borderId="0" xfId="0" applyFill="1"/>
    <xf numFmtId="9" fontId="0" fillId="5" borderId="0" xfId="0" applyNumberFormat="1" applyFill="1"/>
    <xf numFmtId="0" fontId="0" fillId="6" borderId="0" xfId="0" applyFill="1"/>
    <xf numFmtId="8" fontId="0" fillId="6" borderId="0" xfId="0" applyNumberFormat="1" applyFill="1"/>
    <xf numFmtId="164" fontId="0" fillId="0" borderId="0" xfId="0" applyNumberFormat="1"/>
    <xf numFmtId="0" fontId="1" fillId="0" borderId="0" xfId="0" applyFont="1"/>
    <xf numFmtId="0" fontId="4" fillId="0" borderId="0" xfId="0" applyFont="1"/>
    <xf numFmtId="0" fontId="2" fillId="7" borderId="0" xfId="0" applyFont="1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2" fillId="11" borderId="0" xfId="0" applyFont="1" applyFill="1"/>
    <xf numFmtId="0" fontId="2" fillId="12" borderId="0" xfId="0" applyFont="1" applyFill="1"/>
    <xf numFmtId="0" fontId="2" fillId="13" borderId="0" xfId="0" applyFont="1" applyFill="1"/>
    <xf numFmtId="0" fontId="2" fillId="1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11</xdr:row>
      <xdr:rowOff>76199</xdr:rowOff>
    </xdr:from>
    <xdr:to>
      <xdr:col>8</xdr:col>
      <xdr:colOff>528638</xdr:colOff>
      <xdr:row>30</xdr:row>
      <xdr:rowOff>28574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6E6A8CE2-2DF5-4897-85CA-F652E3869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2171699"/>
          <a:ext cx="5357813" cy="3571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8630A-9AA0-4926-A97B-C29338C545A7}">
  <dimension ref="A1:O10"/>
  <sheetViews>
    <sheetView workbookViewId="0">
      <selection activeCell="S10" sqref="S10"/>
    </sheetView>
  </sheetViews>
  <sheetFormatPr defaultRowHeight="15" x14ac:dyDescent="0.25"/>
  <cols>
    <col min="1" max="1" width="23.42578125" customWidth="1"/>
    <col min="2" max="2" width="0.140625" hidden="1" customWidth="1"/>
    <col min="3" max="3" width="9.140625" hidden="1" customWidth="1"/>
    <col min="4" max="4" width="14.85546875" customWidth="1"/>
    <col min="10" max="10" width="10.7109375" bestFit="1" customWidth="1"/>
    <col min="13" max="13" width="14.140625" customWidth="1"/>
  </cols>
  <sheetData>
    <row r="1" spans="1:15" x14ac:dyDescent="0.25">
      <c r="A1" s="2" t="s">
        <v>0</v>
      </c>
      <c r="B1" s="1"/>
      <c r="C1" s="2"/>
      <c r="D1" s="2"/>
      <c r="E1" s="2"/>
      <c r="F1" s="2"/>
      <c r="G1" s="2"/>
      <c r="H1" s="1"/>
      <c r="I1" s="1"/>
      <c r="J1" s="1"/>
      <c r="K1" s="1"/>
      <c r="L1" s="1"/>
      <c r="M1" s="1"/>
      <c r="N1" s="1"/>
      <c r="O1" s="1"/>
    </row>
    <row r="2" spans="1:15" x14ac:dyDescent="0.25">
      <c r="A2" s="5" t="s">
        <v>1</v>
      </c>
      <c r="B2" s="5"/>
      <c r="C2" s="5"/>
      <c r="D2" s="5" t="s">
        <v>7</v>
      </c>
      <c r="E2" s="5"/>
      <c r="F2" s="5" t="s">
        <v>13</v>
      </c>
      <c r="G2" s="5"/>
      <c r="H2" s="4" t="s">
        <v>14</v>
      </c>
      <c r="I2" s="4"/>
      <c r="J2" s="4" t="s">
        <v>8</v>
      </c>
      <c r="K2" s="3"/>
      <c r="L2" s="3"/>
      <c r="M2" s="7" t="s">
        <v>9</v>
      </c>
      <c r="N2" s="3"/>
      <c r="O2" s="3"/>
    </row>
    <row r="3" spans="1:15" x14ac:dyDescent="0.25">
      <c r="A3" t="s">
        <v>2</v>
      </c>
      <c r="D3" s="6">
        <v>1597</v>
      </c>
      <c r="F3" t="s">
        <v>11</v>
      </c>
      <c r="H3" s="11">
        <f>IF(F3="Sim",0.05,0)</f>
        <v>0.05</v>
      </c>
      <c r="I3" s="10"/>
      <c r="J3" s="13">
        <f>D3*(H3)</f>
        <v>79.850000000000009</v>
      </c>
      <c r="K3" s="12"/>
      <c r="M3" s="14">
        <f>D3-J3</f>
        <v>1517.15</v>
      </c>
    </row>
    <row r="4" spans="1:15" x14ac:dyDescent="0.25">
      <c r="A4" t="s">
        <v>3</v>
      </c>
      <c r="D4" s="6">
        <v>4365</v>
      </c>
      <c r="F4" t="s">
        <v>12</v>
      </c>
      <c r="H4" s="11">
        <f t="shared" ref="H4:H7" si="0">IF(F4="Sim",0.05,0)</f>
        <v>0</v>
      </c>
      <c r="I4" s="10"/>
      <c r="J4" s="13">
        <f t="shared" ref="J4:J7" si="1">D4*(H4)</f>
        <v>0</v>
      </c>
      <c r="K4" s="12"/>
      <c r="M4" s="14">
        <f t="shared" ref="M4:M7" si="2">D4-J4</f>
        <v>4365</v>
      </c>
    </row>
    <row r="5" spans="1:15" x14ac:dyDescent="0.25">
      <c r="A5" t="s">
        <v>4</v>
      </c>
      <c r="D5" s="6">
        <v>2860</v>
      </c>
      <c r="F5" t="s">
        <v>11</v>
      </c>
      <c r="H5" s="11">
        <f t="shared" si="0"/>
        <v>0.05</v>
      </c>
      <c r="I5" s="10"/>
      <c r="J5" s="13">
        <f t="shared" si="1"/>
        <v>143</v>
      </c>
      <c r="K5" s="12"/>
      <c r="M5" s="14">
        <f t="shared" si="2"/>
        <v>2717</v>
      </c>
    </row>
    <row r="6" spans="1:15" x14ac:dyDescent="0.25">
      <c r="A6" t="s">
        <v>5</v>
      </c>
      <c r="D6" s="6">
        <v>6870</v>
      </c>
      <c r="F6" t="s">
        <v>12</v>
      </c>
      <c r="H6" s="11">
        <f t="shared" si="0"/>
        <v>0</v>
      </c>
      <c r="I6" s="10"/>
      <c r="J6" s="13">
        <f t="shared" si="1"/>
        <v>0</v>
      </c>
      <c r="K6" s="12"/>
      <c r="M6" s="14">
        <f t="shared" si="2"/>
        <v>6870</v>
      </c>
    </row>
    <row r="7" spans="1:15" x14ac:dyDescent="0.25">
      <c r="A7" t="s">
        <v>6</v>
      </c>
      <c r="D7" s="6">
        <v>8000</v>
      </c>
      <c r="F7" t="s">
        <v>11</v>
      </c>
      <c r="H7" s="11">
        <f t="shared" si="0"/>
        <v>0.05</v>
      </c>
      <c r="I7" s="10"/>
      <c r="J7" s="13">
        <f t="shared" si="1"/>
        <v>400</v>
      </c>
      <c r="K7" s="12"/>
      <c r="M7" s="14">
        <f t="shared" si="2"/>
        <v>7600</v>
      </c>
    </row>
    <row r="10" spans="1:15" x14ac:dyDescent="0.25">
      <c r="A10" s="8"/>
      <c r="B10" s="8"/>
      <c r="C10" s="8"/>
      <c r="D10" s="9" t="s">
        <v>10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8DE37-4A22-4517-8F0D-12AA25684CBF}">
  <dimension ref="A1:L11"/>
  <sheetViews>
    <sheetView tabSelected="1" zoomScale="160" zoomScaleNormal="160" workbookViewId="0">
      <selection activeCell="L23" sqref="L23"/>
    </sheetView>
  </sheetViews>
  <sheetFormatPr defaultRowHeight="15" x14ac:dyDescent="0.25"/>
  <cols>
    <col min="10" max="10" width="11.140625" customWidth="1"/>
  </cols>
  <sheetData>
    <row r="1" spans="1:12" x14ac:dyDescent="0.25">
      <c r="A1" s="16" t="s">
        <v>15</v>
      </c>
      <c r="B1">
        <v>3</v>
      </c>
      <c r="H1" s="15" t="s">
        <v>20</v>
      </c>
      <c r="I1" s="15" t="s">
        <v>21</v>
      </c>
      <c r="J1" s="15" t="s">
        <v>22</v>
      </c>
      <c r="K1" s="15" t="s">
        <v>23</v>
      </c>
      <c r="L1" s="15" t="s">
        <v>24</v>
      </c>
    </row>
    <row r="2" spans="1:12" x14ac:dyDescent="0.25">
      <c r="A2" s="16" t="s">
        <v>16</v>
      </c>
      <c r="B2" t="str">
        <f>VLOOKUP($B$1,$H$2:$L$11,2)</f>
        <v>FUSCA</v>
      </c>
      <c r="H2">
        <v>1</v>
      </c>
      <c r="I2" t="s">
        <v>25</v>
      </c>
      <c r="J2" s="17" t="s">
        <v>35</v>
      </c>
      <c r="K2">
        <v>8000</v>
      </c>
      <c r="L2">
        <v>1997</v>
      </c>
    </row>
    <row r="3" spans="1:12" x14ac:dyDescent="0.25">
      <c r="A3" s="16" t="s">
        <v>17</v>
      </c>
      <c r="B3" t="str">
        <f>VLOOKUP($B$1,$H$2:$L$11,3)</f>
        <v>AZUL</v>
      </c>
      <c r="H3">
        <v>2</v>
      </c>
      <c r="I3" t="s">
        <v>26</v>
      </c>
      <c r="J3" s="19" t="s">
        <v>36</v>
      </c>
      <c r="K3">
        <v>15000</v>
      </c>
      <c r="L3">
        <v>2013</v>
      </c>
    </row>
    <row r="4" spans="1:12" x14ac:dyDescent="0.25">
      <c r="A4" s="16" t="s">
        <v>18</v>
      </c>
      <c r="B4">
        <f>VLOOKUP($B$1,$H$2:$L$11,4)</f>
        <v>2000</v>
      </c>
      <c r="H4">
        <v>3</v>
      </c>
      <c r="I4" t="s">
        <v>27</v>
      </c>
      <c r="J4" s="1" t="s">
        <v>37</v>
      </c>
      <c r="K4">
        <v>2000</v>
      </c>
      <c r="L4">
        <v>1975</v>
      </c>
    </row>
    <row r="5" spans="1:12" x14ac:dyDescent="0.25">
      <c r="A5" s="16" t="s">
        <v>19</v>
      </c>
      <c r="B5">
        <f>VLOOKUP($B$1,$H$2:$L$11,5)</f>
        <v>1975</v>
      </c>
      <c r="H5">
        <v>4</v>
      </c>
      <c r="I5" t="s">
        <v>28</v>
      </c>
      <c r="J5" s="18" t="s">
        <v>38</v>
      </c>
      <c r="K5">
        <v>30000</v>
      </c>
      <c r="L5">
        <v>2000</v>
      </c>
    </row>
    <row r="6" spans="1:12" x14ac:dyDescent="0.25">
      <c r="H6">
        <v>5</v>
      </c>
      <c r="I6" t="s">
        <v>29</v>
      </c>
      <c r="J6" t="s">
        <v>39</v>
      </c>
      <c r="K6">
        <v>40000</v>
      </c>
      <c r="L6">
        <v>2017</v>
      </c>
    </row>
    <row r="7" spans="1:12" x14ac:dyDescent="0.25">
      <c r="H7">
        <v>6</v>
      </c>
      <c r="I7" t="s">
        <v>30</v>
      </c>
      <c r="J7" s="20" t="s">
        <v>40</v>
      </c>
      <c r="K7">
        <v>4000</v>
      </c>
      <c r="L7">
        <v>1994</v>
      </c>
    </row>
    <row r="8" spans="1:12" x14ac:dyDescent="0.25">
      <c r="H8">
        <v>7</v>
      </c>
      <c r="I8" t="s">
        <v>31</v>
      </c>
      <c r="J8" s="21" t="s">
        <v>41</v>
      </c>
      <c r="K8">
        <v>13000</v>
      </c>
      <c r="L8">
        <v>2000</v>
      </c>
    </row>
    <row r="9" spans="1:12" x14ac:dyDescent="0.25">
      <c r="H9">
        <v>8</v>
      </c>
      <c r="I9" t="s">
        <v>32</v>
      </c>
      <c r="J9" s="22" t="s">
        <v>42</v>
      </c>
      <c r="K9">
        <v>25000</v>
      </c>
      <c r="L9">
        <v>2012</v>
      </c>
    </row>
    <row r="10" spans="1:12" x14ac:dyDescent="0.25">
      <c r="H10">
        <v>9</v>
      </c>
      <c r="I10" t="s">
        <v>33</v>
      </c>
      <c r="J10" s="23" t="s">
        <v>43</v>
      </c>
      <c r="K10">
        <v>1000</v>
      </c>
      <c r="L10">
        <v>1986</v>
      </c>
    </row>
    <row r="11" spans="1:12" x14ac:dyDescent="0.25">
      <c r="H11">
        <v>10</v>
      </c>
      <c r="I11" t="s">
        <v>34</v>
      </c>
      <c r="J11" s="24" t="s">
        <v>44</v>
      </c>
      <c r="K11">
        <v>500</v>
      </c>
      <c r="L11">
        <v>1962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Porcentagem</vt:lpstr>
      <vt:lpstr>Cód, Veiculos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CAMARGO</dc:creator>
  <cp:lastModifiedBy>CAMARGO</cp:lastModifiedBy>
  <dcterms:created xsi:type="dcterms:W3CDTF">2026-05-18T22:41:43Z</dcterms:created>
  <dcterms:modified xsi:type="dcterms:W3CDTF">2026-05-19T01:07:29Z</dcterms:modified>
</cp:coreProperties>
</file>